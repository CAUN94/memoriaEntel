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m\Desktop\Javier\universidad\Taller de memoria\Cris Ugarte\"/>
    </mc:Choice>
  </mc:AlternateContent>
  <bookViews>
    <workbookView xWindow="0" yWindow="0" windowWidth="20490" windowHeight="7755"/>
  </bookViews>
  <sheets>
    <sheet name="Copia proyectos" sheetId="1" r:id="rId1"/>
  </sheets>
  <definedNames>
    <definedName name="_xlnm._FilterDatabase" localSheetId="0" hidden="1">'Copia proyectos'!$A$1:$AG$1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D10" i="1"/>
  <c r="C10" i="1"/>
  <c r="B10" i="1"/>
  <c r="G9" i="1"/>
  <c r="D9" i="1"/>
  <c r="C9" i="1"/>
  <c r="G8" i="1"/>
  <c r="D8" i="1"/>
  <c r="C8" i="1"/>
  <c r="B8" i="1" s="1"/>
  <c r="G7" i="1"/>
  <c r="D7" i="1"/>
  <c r="C7" i="1"/>
  <c r="B7" i="1" s="1"/>
  <c r="G6" i="1"/>
  <c r="D6" i="1"/>
  <c r="C6" i="1"/>
  <c r="B6" i="1" s="1"/>
  <c r="O5" i="1"/>
  <c r="M5" i="1"/>
  <c r="D5" i="1" s="1"/>
  <c r="G5" i="1"/>
  <c r="C5" i="1"/>
  <c r="B5" i="1" s="1"/>
  <c r="G4" i="1"/>
  <c r="D4" i="1"/>
  <c r="C4" i="1"/>
  <c r="B4" i="1" s="1"/>
  <c r="G3" i="1"/>
  <c r="D3" i="1"/>
  <c r="C3" i="1"/>
  <c r="B3" i="1" s="1"/>
  <c r="M2" i="1"/>
  <c r="G2" i="1"/>
  <c r="D2" i="1"/>
  <c r="C2" i="1"/>
  <c r="B2" i="1"/>
</calcChain>
</file>

<file path=xl/sharedStrings.xml><?xml version="1.0" encoding="utf-8"?>
<sst xmlns="http://schemas.openxmlformats.org/spreadsheetml/2006/main" count="96" uniqueCount="48">
  <si>
    <t>Codigo Proyecto</t>
  </si>
  <si>
    <t>Warning</t>
  </si>
  <si>
    <t>Dif de avance</t>
  </si>
  <si>
    <t>Estado</t>
  </si>
  <si>
    <t>Cockpit</t>
  </si>
  <si>
    <t>Mercado</t>
  </si>
  <si>
    <t>3 Horizontes</t>
  </si>
  <si>
    <t>Focos de Gerencia de Innovación</t>
  </si>
  <si>
    <t>Focos de Innovación de Entel</t>
  </si>
  <si>
    <t>Proyectos</t>
  </si>
  <si>
    <t>Actividades</t>
  </si>
  <si>
    <t>Categorias de innovación</t>
  </si>
  <si>
    <t>Avance de Actividad %</t>
  </si>
  <si>
    <t>Prioridad</t>
  </si>
  <si>
    <t>Fecha de Proyecto</t>
  </si>
  <si>
    <t>Responsable</t>
  </si>
  <si>
    <t>Lidera</t>
  </si>
  <si>
    <t>Equipo</t>
  </si>
  <si>
    <t>Rol E&amp;I</t>
  </si>
  <si>
    <t>Comentario</t>
  </si>
  <si>
    <t>NO</t>
  </si>
  <si>
    <t>Fomentar la Innovación</t>
  </si>
  <si>
    <t>MT9 Mejor Experiencia</t>
  </si>
  <si>
    <t>Penta Lean</t>
  </si>
  <si>
    <t>Labs</t>
  </si>
  <si>
    <t>Alta</t>
  </si>
  <si>
    <t>Aceleramiento idea servicios</t>
  </si>
  <si>
    <t>Media</t>
  </si>
  <si>
    <t>Trabajo con Bombacamp</t>
  </si>
  <si>
    <t>Validación Aplicación</t>
  </si>
  <si>
    <t>CX+BOMBA   15 de semptiembre presentacion final</t>
  </si>
  <si>
    <t>SI</t>
  </si>
  <si>
    <t>Impulsar la Innovación Frontera</t>
  </si>
  <si>
    <t>MT5 Big Data</t>
  </si>
  <si>
    <t>Big data Analitics</t>
  </si>
  <si>
    <t>SA. Frontera</t>
  </si>
  <si>
    <t>Desarrollo Estrategia BIG Data uso Interno</t>
  </si>
  <si>
    <t>Casos Internos (Churn, CVM, Tiendas)</t>
  </si>
  <si>
    <t>AC</t>
  </si>
  <si>
    <t>ED</t>
  </si>
  <si>
    <t>SF</t>
  </si>
  <si>
    <t>Liderazgo</t>
  </si>
  <si>
    <t>Casos Externos</t>
  </si>
  <si>
    <t>Seguimiento</t>
  </si>
  <si>
    <t>Definir Gobernance</t>
  </si>
  <si>
    <t>VC</t>
  </si>
  <si>
    <t>Desarrollo Estrategia BIG Data Clientes</t>
  </si>
  <si>
    <t>Levantamiento de los casos de uso interno, levantamiento de las inversiones, coordinacion con redes, sistemas y TD. Comité de inversiones, Aprovado comité de inversion, enviar a rodrigo detalle de inversiones, abrir las cuentas de inv. Ppt Gobierno. cerrar con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</si>
</sst>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5">
    <xf numFmtId="0" fontId="0" fillId="0" borderId="0" xfId="0"/>
    <xf numFmtId="0" fontId="1" fillId="0" borderId="1" xfId="1" applyFont="1" applyFill="1" applyAlignment="1">
      <alignment horizontal="left"/>
    </xf>
    <xf numFmtId="9" fontId="1" fillId="0" borderId="1" xfId="1" applyNumberFormat="1" applyFont="1" applyFill="1" applyAlignment="1">
      <alignment horizontal="center"/>
    </xf>
    <xf numFmtId="1" fontId="1" fillId="0" borderId="1" xfId="1" applyNumberFormat="1" applyFont="1" applyFill="1" applyAlignment="1">
      <alignment horizontal="left"/>
    </xf>
    <xf numFmtId="9" fontId="1" fillId="0" borderId="1" xfId="1" applyNumberFormat="1" applyFont="1" applyFill="1" applyAlignment="1">
      <alignment horizontal="left"/>
    </xf>
    <xf numFmtId="14" fontId="1" fillId="0" borderId="1" xfId="1" applyNumberFormat="1" applyFont="1" applyFill="1" applyAlignment="1">
      <alignment horizontal="left"/>
    </xf>
    <xf numFmtId="0" fontId="2" fillId="0" borderId="2" xfId="0" applyFont="1" applyFill="1" applyBorder="1" applyAlignment="1">
      <alignment horizontal="left"/>
    </xf>
    <xf numFmtId="9" fontId="2" fillId="0" borderId="2" xfId="0" applyNumberFormat="1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left"/>
    </xf>
    <xf numFmtId="9" fontId="2" fillId="0" borderId="2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left" vertical="center" wrapText="1"/>
    </xf>
    <xf numFmtId="14" fontId="2" fillId="0" borderId="2" xfId="0" applyNumberFormat="1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Border="1" applyAlignment="1">
      <alignment horizontal="left"/>
    </xf>
    <xf numFmtId="1" fontId="2" fillId="0" borderId="2" xfId="0" applyNumberFormat="1" applyFont="1" applyFill="1" applyBorder="1" applyAlignment="1">
      <alignment horizontal="left" vertical="center" wrapText="1"/>
    </xf>
  </cellXfs>
  <cellStyles count="2">
    <cellStyle name="Encabezado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zoomScale="60" zoomScaleNormal="60" workbookViewId="0">
      <selection activeCell="G10" sqref="G10"/>
    </sheetView>
  </sheetViews>
  <sheetFormatPr baseColWidth="10" defaultRowHeight="15" x14ac:dyDescent="0.25"/>
  <cols>
    <col min="1" max="1" width="21" bestFit="1" customWidth="1"/>
    <col min="7" max="7" width="20" customWidth="1"/>
    <col min="8" max="8" width="41.28515625" bestFit="1" customWidth="1"/>
    <col min="9" max="9" width="36.7109375" bestFit="1" customWidth="1"/>
    <col min="10" max="10" width="18.7109375" bestFit="1" customWidth="1"/>
    <col min="11" max="11" width="24.140625" bestFit="1" customWidth="1"/>
    <col min="12" max="12" width="32" bestFit="1" customWidth="1"/>
    <col min="15" max="15" width="18.28515625" customWidth="1"/>
    <col min="19" max="19" width="16" customWidth="1"/>
    <col min="20" max="20" width="87.5703125" customWidth="1"/>
  </cols>
  <sheetData>
    <row r="1" spans="1:21" s="1" customFormat="1" ht="20.25" thickBo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1" t="s">
        <v>19</v>
      </c>
    </row>
    <row r="2" spans="1:21" s="13" customFormat="1" ht="15.75" customHeight="1" thickTop="1" x14ac:dyDescent="0.25">
      <c r="A2" s="6">
        <v>1</v>
      </c>
      <c r="B2" s="7">
        <f ca="1">IF(C2&gt;=0,M2,0.01)</f>
        <v>0.01</v>
      </c>
      <c r="C2" s="8">
        <f t="shared" ref="C2:C10" ca="1" si="0">O2-TODAY()</f>
        <v>-141</v>
      </c>
      <c r="D2" s="9" t="str">
        <f t="shared" ref="D2:D10" si="1">IF(M2=0,"No Comenzado",IF(M2&lt;1,"En Desarrollo","Terminado"))</f>
        <v>En Desarrollo</v>
      </c>
      <c r="E2" s="9" t="s">
        <v>20</v>
      </c>
      <c r="F2" s="9"/>
      <c r="G2" s="9" t="str">
        <f>IF(I2="MT5 Big Data","Transformacional",IF(I2="MT4 IoT","Transformacional",IF(I2="MT6 Hogar Digital","Transformacional",IF(I2="MT7 Evolucion del contenido","Trasformacional",IF(I2="MT1 Persona Digital","Evolutiva",IF(I2="MT2 Empresa Digital","Evolutiva",IF(I2="MT3 Cloud Services","Evolutivas",IF(I2="MT10 Desafios Negocio Actual","Continua",IF(I2="MT9 Mejor Experiencia","Experiencia Superior",IF(I2="MT8 Evolución de Red","Mejora Tecnologica",FALSE))))))))))</f>
        <v>Experiencia Superior</v>
      </c>
      <c r="H2" s="9" t="s">
        <v>21</v>
      </c>
      <c r="I2" s="10" t="s">
        <v>22</v>
      </c>
      <c r="J2" s="6" t="s">
        <v>23</v>
      </c>
      <c r="K2" s="6"/>
      <c r="L2" s="6" t="s">
        <v>24</v>
      </c>
      <c r="M2" s="9">
        <f>AVERAGE(M3:M4)</f>
        <v>0.75</v>
      </c>
      <c r="N2" s="6" t="s">
        <v>25</v>
      </c>
      <c r="O2" s="11">
        <v>42318</v>
      </c>
      <c r="P2" s="11"/>
      <c r="Q2" s="11"/>
      <c r="R2" s="11"/>
      <c r="S2" s="11"/>
      <c r="T2" s="6"/>
      <c r="U2" s="12"/>
    </row>
    <row r="3" spans="1:21" s="13" customFormat="1" ht="45" x14ac:dyDescent="0.25">
      <c r="A3" s="6">
        <v>2</v>
      </c>
      <c r="B3" s="7">
        <f t="shared" ref="B3:B10" ca="1" si="2">IF(C3&gt;=0,M3,0.01)</f>
        <v>0.01</v>
      </c>
      <c r="C3" s="8">
        <f t="shared" ca="1" si="0"/>
        <v>-197</v>
      </c>
      <c r="D3" s="9" t="str">
        <f t="shared" si="1"/>
        <v>Terminado</v>
      </c>
      <c r="E3" s="9" t="s">
        <v>20</v>
      </c>
      <c r="F3" s="9"/>
      <c r="G3" s="9" t="str">
        <f t="shared" ref="G3:G10" si="3">IF(I3="MT5 Big Data","Transformacional",IF(I3="MT4 IoT","Transformacional",IF(I3="MT6 Hogar Digital","Transformacional",IF(I3="MT7 Evolucion del contenido","Trasformacional",IF(I3="MT1 Persona Digital","Evolutiva",IF(I3="MT2 Empresa Digital","Evolutiva",IF(I3="MT3 Cloud Services","Evolutivas",IF(I3="MT10 Desafios Negocio Actual","Continua",IF(I3="MT9 Mejor Experiencia","Experiencia Superior",IF(I3="MT8 Evolución de Red","Mejora Tecnologica",FALSE))))))))))</f>
        <v>Experiencia Superior</v>
      </c>
      <c r="H3" s="9" t="s">
        <v>21</v>
      </c>
      <c r="I3" s="10" t="s">
        <v>22</v>
      </c>
      <c r="J3" s="10" t="s">
        <v>26</v>
      </c>
      <c r="K3" s="10" t="s">
        <v>26</v>
      </c>
      <c r="L3" s="6" t="s">
        <v>24</v>
      </c>
      <c r="M3" s="9">
        <v>1</v>
      </c>
      <c r="N3" s="6" t="s">
        <v>27</v>
      </c>
      <c r="O3" s="11">
        <v>42262</v>
      </c>
      <c r="P3" s="11"/>
      <c r="Q3" s="11"/>
      <c r="R3" s="11"/>
      <c r="S3" s="11"/>
      <c r="T3" s="10" t="s">
        <v>28</v>
      </c>
      <c r="U3" s="12"/>
    </row>
    <row r="4" spans="1:21" s="13" customFormat="1" ht="30" x14ac:dyDescent="0.25">
      <c r="A4" s="6">
        <v>3</v>
      </c>
      <c r="B4" s="7">
        <f t="shared" ca="1" si="2"/>
        <v>0.01</v>
      </c>
      <c r="C4" s="8">
        <f t="shared" ca="1" si="0"/>
        <v>-197</v>
      </c>
      <c r="D4" s="9" t="str">
        <f t="shared" si="1"/>
        <v>En Desarrollo</v>
      </c>
      <c r="E4" s="9" t="s">
        <v>20</v>
      </c>
      <c r="F4" s="9"/>
      <c r="G4" s="9" t="str">
        <f t="shared" si="3"/>
        <v>Experiencia Superior</v>
      </c>
      <c r="H4" s="9" t="s">
        <v>21</v>
      </c>
      <c r="I4" s="10" t="s">
        <v>22</v>
      </c>
      <c r="J4" s="10" t="s">
        <v>29</v>
      </c>
      <c r="K4" s="10" t="s">
        <v>29</v>
      </c>
      <c r="L4" s="6" t="s">
        <v>24</v>
      </c>
      <c r="M4" s="9">
        <v>0.5</v>
      </c>
      <c r="N4" s="6" t="s">
        <v>27</v>
      </c>
      <c r="O4" s="11">
        <v>42262</v>
      </c>
      <c r="P4" s="11"/>
      <c r="Q4" s="11"/>
      <c r="R4" s="11"/>
      <c r="S4" s="11"/>
      <c r="T4" s="10" t="s">
        <v>30</v>
      </c>
      <c r="U4" s="12"/>
    </row>
    <row r="5" spans="1:21" s="13" customFormat="1" x14ac:dyDescent="0.25">
      <c r="A5" s="6">
        <v>4</v>
      </c>
      <c r="B5" s="7">
        <f t="shared" ca="1" si="2"/>
        <v>0.05</v>
      </c>
      <c r="C5" s="8">
        <f t="shared" ca="1" si="0"/>
        <v>275</v>
      </c>
      <c r="D5" s="9" t="str">
        <f t="shared" si="1"/>
        <v>En Desarrollo</v>
      </c>
      <c r="E5" s="9" t="s">
        <v>31</v>
      </c>
      <c r="F5" s="9"/>
      <c r="G5" s="9" t="str">
        <f t="shared" si="3"/>
        <v>Transformacional</v>
      </c>
      <c r="H5" s="9" t="s">
        <v>32</v>
      </c>
      <c r="I5" s="6" t="s">
        <v>33</v>
      </c>
      <c r="J5" s="6" t="s">
        <v>34</v>
      </c>
      <c r="K5" s="6" t="s">
        <v>34</v>
      </c>
      <c r="L5" s="6" t="s">
        <v>35</v>
      </c>
      <c r="M5" s="9">
        <f>AVERAGE(M6:M11)</f>
        <v>0.05</v>
      </c>
      <c r="N5" s="6" t="s">
        <v>25</v>
      </c>
      <c r="O5" s="11">
        <f>MAX(O6:O11)</f>
        <v>42734</v>
      </c>
      <c r="P5" s="11"/>
      <c r="Q5" s="11"/>
      <c r="R5" s="11"/>
      <c r="S5" s="11"/>
      <c r="T5" s="6"/>
      <c r="U5" s="12"/>
    </row>
    <row r="6" spans="1:21" s="13" customFormat="1" ht="60" x14ac:dyDescent="0.25">
      <c r="A6" s="6">
        <v>5</v>
      </c>
      <c r="B6" s="7">
        <f t="shared" ca="1" si="2"/>
        <v>0.01</v>
      </c>
      <c r="C6" s="8">
        <f t="shared" ca="1" si="0"/>
        <v>-211</v>
      </c>
      <c r="D6" s="9" t="str">
        <f t="shared" si="1"/>
        <v>En Desarrollo</v>
      </c>
      <c r="E6" s="9" t="s">
        <v>20</v>
      </c>
      <c r="F6" s="9"/>
      <c r="G6" s="9" t="str">
        <f t="shared" si="3"/>
        <v>Transformacional</v>
      </c>
      <c r="H6" s="9" t="s">
        <v>32</v>
      </c>
      <c r="I6" s="6" t="s">
        <v>33</v>
      </c>
      <c r="J6" s="6" t="s">
        <v>34</v>
      </c>
      <c r="K6" s="10" t="s">
        <v>36</v>
      </c>
      <c r="L6" s="6" t="s">
        <v>35</v>
      </c>
      <c r="M6" s="9">
        <v>0.15</v>
      </c>
      <c r="N6" s="6" t="s">
        <v>25</v>
      </c>
      <c r="O6" s="11">
        <v>42248</v>
      </c>
      <c r="P6" s="11"/>
      <c r="Q6" s="11"/>
      <c r="R6" s="11"/>
      <c r="S6" s="11"/>
      <c r="T6" s="6"/>
      <c r="U6" s="12"/>
    </row>
    <row r="7" spans="1:21" s="13" customFormat="1" ht="30" customHeight="1" x14ac:dyDescent="0.25">
      <c r="A7" s="6">
        <v>6</v>
      </c>
      <c r="B7" s="7">
        <f t="shared" ca="1" si="2"/>
        <v>0.05</v>
      </c>
      <c r="C7" s="8">
        <f t="shared" ca="1" si="0"/>
        <v>275</v>
      </c>
      <c r="D7" s="9" t="str">
        <f t="shared" si="1"/>
        <v>En Desarrollo</v>
      </c>
      <c r="E7" s="9" t="s">
        <v>20</v>
      </c>
      <c r="F7" s="9"/>
      <c r="G7" s="9" t="str">
        <f t="shared" si="3"/>
        <v>Transformacional</v>
      </c>
      <c r="H7" s="9" t="s">
        <v>32</v>
      </c>
      <c r="I7" s="6" t="s">
        <v>33</v>
      </c>
      <c r="J7" s="6" t="s">
        <v>34</v>
      </c>
      <c r="K7" s="10" t="s">
        <v>37</v>
      </c>
      <c r="L7" s="6" t="s">
        <v>35</v>
      </c>
      <c r="M7" s="9">
        <v>0.05</v>
      </c>
      <c r="N7" s="6" t="s">
        <v>25</v>
      </c>
      <c r="O7" s="11">
        <v>42734</v>
      </c>
      <c r="P7" s="11" t="s">
        <v>38</v>
      </c>
      <c r="Q7" s="11" t="s">
        <v>39</v>
      </c>
      <c r="R7" s="11" t="s">
        <v>40</v>
      </c>
      <c r="S7" s="11" t="s">
        <v>41</v>
      </c>
      <c r="T7" s="10" t="s">
        <v>47</v>
      </c>
      <c r="U7" s="12"/>
    </row>
    <row r="8" spans="1:21" s="13" customFormat="1" ht="30" x14ac:dyDescent="0.25">
      <c r="A8" s="6">
        <v>7</v>
      </c>
      <c r="B8" s="7">
        <f t="shared" ca="1" si="2"/>
        <v>0.05</v>
      </c>
      <c r="C8" s="8">
        <f t="shared" ca="1" si="0"/>
        <v>275</v>
      </c>
      <c r="D8" s="9" t="str">
        <f t="shared" si="1"/>
        <v>En Desarrollo</v>
      </c>
      <c r="E8" s="9" t="s">
        <v>31</v>
      </c>
      <c r="F8" s="9"/>
      <c r="G8" s="9" t="str">
        <f t="shared" si="3"/>
        <v>Transformacional</v>
      </c>
      <c r="H8" s="9" t="s">
        <v>32</v>
      </c>
      <c r="I8" s="6" t="s">
        <v>33</v>
      </c>
      <c r="J8" s="6" t="s">
        <v>34</v>
      </c>
      <c r="K8" s="10" t="s">
        <v>42</v>
      </c>
      <c r="L8" s="6" t="s">
        <v>35</v>
      </c>
      <c r="M8" s="9">
        <v>0.05</v>
      </c>
      <c r="N8" s="6" t="s">
        <v>25</v>
      </c>
      <c r="O8" s="11">
        <v>42734</v>
      </c>
      <c r="P8" s="11" t="s">
        <v>38</v>
      </c>
      <c r="Q8" s="11" t="s">
        <v>39</v>
      </c>
      <c r="R8" s="11" t="s">
        <v>40</v>
      </c>
      <c r="S8" s="11" t="s">
        <v>43</v>
      </c>
      <c r="T8" s="10"/>
      <c r="U8" s="12"/>
    </row>
    <row r="9" spans="1:21" s="13" customFormat="1" ht="30" customHeight="1" x14ac:dyDescent="0.25">
      <c r="A9" s="6">
        <v>8</v>
      </c>
      <c r="B9" s="7"/>
      <c r="C9" s="6">
        <f t="shared" ca="1" si="0"/>
        <v>92</v>
      </c>
      <c r="D9" s="9" t="str">
        <f t="shared" si="1"/>
        <v>No Comenzado</v>
      </c>
      <c r="E9" s="9" t="s">
        <v>31</v>
      </c>
      <c r="F9" s="9"/>
      <c r="G9" s="9" t="str">
        <f t="shared" si="3"/>
        <v>Transformacional</v>
      </c>
      <c r="H9" s="9" t="s">
        <v>32</v>
      </c>
      <c r="I9" s="6" t="s">
        <v>33</v>
      </c>
      <c r="J9" s="6" t="s">
        <v>34</v>
      </c>
      <c r="K9" s="10" t="s">
        <v>44</v>
      </c>
      <c r="L9" s="6" t="s">
        <v>35</v>
      </c>
      <c r="M9" s="9">
        <v>0</v>
      </c>
      <c r="N9" s="6" t="s">
        <v>25</v>
      </c>
      <c r="O9" s="11">
        <v>42551</v>
      </c>
      <c r="P9" s="11" t="s">
        <v>38</v>
      </c>
      <c r="Q9" s="11" t="s">
        <v>45</v>
      </c>
      <c r="R9" s="11"/>
      <c r="S9" s="11" t="s">
        <v>43</v>
      </c>
      <c r="T9" s="10"/>
      <c r="U9" s="12"/>
    </row>
    <row r="10" spans="1:21" s="13" customFormat="1" ht="60" x14ac:dyDescent="0.25">
      <c r="A10" s="6">
        <v>9</v>
      </c>
      <c r="B10" s="7">
        <f t="shared" ca="1" si="2"/>
        <v>0.01</v>
      </c>
      <c r="C10" s="8">
        <f t="shared" ca="1" si="0"/>
        <v>-211</v>
      </c>
      <c r="D10" s="9" t="str">
        <f t="shared" si="1"/>
        <v>No Comenzado</v>
      </c>
      <c r="E10" s="9" t="s">
        <v>20</v>
      </c>
      <c r="F10" s="9"/>
      <c r="G10" s="9" t="str">
        <f t="shared" si="3"/>
        <v>Transformacional</v>
      </c>
      <c r="H10" s="9" t="s">
        <v>32</v>
      </c>
      <c r="I10" s="6" t="s">
        <v>33</v>
      </c>
      <c r="J10" s="6" t="s">
        <v>34</v>
      </c>
      <c r="K10" s="10" t="s">
        <v>46</v>
      </c>
      <c r="L10" s="6" t="s">
        <v>35</v>
      </c>
      <c r="M10" s="9">
        <v>0</v>
      </c>
      <c r="N10" s="6" t="s">
        <v>25</v>
      </c>
      <c r="O10" s="11">
        <v>42248</v>
      </c>
      <c r="P10" s="11"/>
      <c r="Q10" s="11"/>
      <c r="R10" s="11"/>
      <c r="S10" s="11"/>
      <c r="T10" s="14"/>
      <c r="U10" s="12"/>
    </row>
  </sheetData>
  <autoFilter ref="A1:AG1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BC2A384-9D4E-4C9A-8037-468A5017CC09}">
            <x14:iconSet iconSet="5Boxes" showValue="0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  <x14:cfIcon iconSet="3Symbols" iconId="0"/>
              <x14:cfIcon iconSet="3Signs" iconId="1"/>
              <x14:cfIcon iconSet="3Symbols" iconId="1"/>
              <x14:cfIcon iconSet="3TrafficLights1" iconId="2"/>
              <x14:cfIcon iconSet="3Symbols2" iconId="2"/>
            </x14:iconSet>
          </x14:cfRule>
          <xm:sqref>B1:B10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Copia proyectos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</dc:creator>
  <cp:lastModifiedBy>Jam</cp:lastModifiedBy>
  <dcterms:created xsi:type="dcterms:W3CDTF">2016-03-30T17:43:58Z</dcterms:created>
  <dcterms:modified xsi:type="dcterms:W3CDTF">2016-03-30T17:46:59Z</dcterms:modified>
</cp:coreProperties>
</file>